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mionkin/projects_other/solution_architecture/VitaStore/Task4/"/>
    </mc:Choice>
  </mc:AlternateContent>
  <xr:revisionPtr revIDLastSave="0" documentId="13_ncr:1_{86BC1B19-7AB9-6F4D-A1D5-50DE7288329C}" xr6:coauthVersionLast="47" xr6:coauthVersionMax="47" xr10:uidLastSave="{00000000-0000-0000-0000-000000000000}"/>
  <bookViews>
    <workbookView xWindow="0" yWindow="660" windowWidth="30240" windowHeight="17420" xr2:uid="{00000000-000D-0000-FFFF-FFFF00000000}"/>
  </bookViews>
  <sheets>
    <sheet name="TCO 100 магазинов" sheetId="1" r:id="rId1"/>
    <sheet name="Параметры" sheetId="2" r:id="rId2"/>
  </sheets>
  <definedNames>
    <definedName name="AS_ENG_COST">Параметры!$B$24</definedName>
    <definedName name="AS_ENG_QTY">Параметры!$B$23</definedName>
    <definedName name="AS_HW_BREAKFIX">Параметры!$B$17</definedName>
    <definedName name="AS_LIC_POS">Параметры!$B$21</definedName>
    <definedName name="AS_LIC_SQL">Параметры!$B$20</definedName>
    <definedName name="AS_LIC_WIN">Параметры!$B$19</definedName>
    <definedName name="AS_NET_PM">Параметры!$B$26</definedName>
    <definedName name="AS_ONB_FIELD">Параметры!$B$29</definedName>
    <definedName name="AS_ONB_REWORK">Параметры!$B$30</definedName>
    <definedName name="AS_ONB_TEAM">Параметры!$B$28</definedName>
    <definedName name="AS_PC_COST">Параметры!$B$14</definedName>
    <definedName name="AS_PC_LIFE">Параметры!$B$16</definedName>
    <definedName name="AS_PC_QTY">Параметры!$B$15</definedName>
    <definedName name="AS_SRV_COST">Параметры!$B$12</definedName>
    <definedName name="AS_SRV_LIFE">Параметры!$B$13</definedName>
    <definedName name="HW_AGING">Параметры!$B$10</definedName>
    <definedName name="IDX_FOT">Параметры!$B$8</definedName>
    <definedName name="IDX_GENERAL">Параметры!$B$6</definedName>
    <definedName name="IDX_LIC">Параметры!$B$7</definedName>
    <definedName name="IDX_ONB">Параметры!$B$9</definedName>
    <definedName name="N_STORES">Параметры!$B$4</definedName>
    <definedName name="TB_CLOUD_PS">Параметры!$B$41</definedName>
    <definedName name="TB_CLOUD_RAMP">Параметры!$B$42</definedName>
    <definedName name="TB_CLOUDPOS_PM">Параметры!$B$37</definedName>
    <definedName name="TB_DUALRUN">Параметры!$B$59</definedName>
    <definedName name="TB_ENG_COST">Параметры!$B$45</definedName>
    <definedName name="TB_ENG_QTY">Параметры!$B$44</definedName>
    <definedName name="TB_FOT_EFF_Y3">Параметры!$B$47</definedName>
    <definedName name="TB_FOT_HYPERCARE">Параметры!$B$46</definedName>
    <definedName name="TB_HW_BREAKFIX">Параметры!$B$34</definedName>
    <definedName name="TB_HW_RAMP">Параметры!$B$35</definedName>
    <definedName name="TB_LOYALTY_PM">Параметры!$B$38</definedName>
    <definedName name="TB_MIG_PLATFORM">Параметры!$B$55</definedName>
    <definedName name="TB_MIG_ROLLOUT">Параметры!$B$56</definedName>
    <definedName name="TB_MIG_TRAINING">Параметры!$B$57</definedName>
    <definedName name="TB_NET_PM">Параметры!$B$49</definedName>
    <definedName name="TB_NET_RAMP">Параметры!$B$50</definedName>
    <definedName name="TB_ONB_RUN">Параметры!$B$52</definedName>
    <definedName name="TB_ONB_SETUP_Y1">Параметры!$B$53</definedName>
    <definedName name="TB_SUB_RAMP">Параметры!$B$39</definedName>
    <definedName name="TB_TABLET_COST">Параметры!$B$32</definedName>
    <definedName name="TB_TABLET_LIFE">Параметры!$B$33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G16" i="1"/>
  <c r="F16" i="1"/>
  <c r="E16" i="1"/>
  <c r="H16" i="1" s="1"/>
  <c r="G15" i="1"/>
  <c r="F15" i="1"/>
  <c r="E15" i="1"/>
  <c r="H15" i="1" s="1"/>
  <c r="F14" i="1"/>
  <c r="G14" i="1" s="1"/>
  <c r="E14" i="1"/>
  <c r="F13" i="1"/>
  <c r="G13" i="1" s="1"/>
  <c r="E13" i="1"/>
  <c r="G12" i="1"/>
  <c r="F12" i="1"/>
  <c r="E12" i="1"/>
  <c r="F11" i="1"/>
  <c r="G11" i="1" s="1"/>
  <c r="E11" i="1"/>
  <c r="F10" i="1"/>
  <c r="E10" i="1"/>
  <c r="F9" i="1"/>
  <c r="G9" i="1" s="1"/>
  <c r="E9" i="1"/>
  <c r="E7" i="1"/>
  <c r="F7" i="1" s="1"/>
  <c r="E6" i="1"/>
  <c r="E5" i="1"/>
  <c r="G4" i="1"/>
  <c r="F4" i="1"/>
  <c r="E4" i="1"/>
  <c r="H4" i="1" s="1"/>
  <c r="E3" i="1"/>
  <c r="F3" i="1" s="1"/>
  <c r="G2" i="1"/>
  <c r="F2" i="1"/>
  <c r="E2" i="1"/>
  <c r="H2" i="1" s="1"/>
  <c r="H12" i="1" l="1"/>
  <c r="H11" i="1"/>
  <c r="E17" i="1"/>
  <c r="E21" i="1" s="1"/>
  <c r="G10" i="1"/>
  <c r="H10" i="1" s="1"/>
  <c r="F17" i="1"/>
  <c r="F21" i="1" s="1"/>
  <c r="G7" i="1"/>
  <c r="H7" i="1" s="1"/>
  <c r="H14" i="1"/>
  <c r="H5" i="1"/>
  <c r="H6" i="1"/>
  <c r="H9" i="1"/>
  <c r="H13" i="1"/>
  <c r="G3" i="1"/>
  <c r="H3" i="1" s="1"/>
  <c r="F6" i="1"/>
  <c r="G6" i="1" s="1"/>
  <c r="F5" i="1"/>
  <c r="G5" i="1" s="1"/>
  <c r="E8" i="1"/>
  <c r="G8" i="1" l="1"/>
  <c r="G17" i="1"/>
  <c r="G21" i="1" s="1"/>
  <c r="H17" i="1"/>
  <c r="E18" i="1"/>
  <c r="E20" i="1"/>
  <c r="F8" i="1"/>
  <c r="G18" i="1" l="1"/>
  <c r="G22" i="1"/>
  <c r="F22" i="1"/>
  <c r="F18" i="1"/>
  <c r="F20" i="1"/>
  <c r="G20" i="1" s="1"/>
  <c r="H8" i="1"/>
  <c r="H24" i="1" s="1"/>
  <c r="E19" i="1"/>
  <c r="H18" i="1"/>
  <c r="F19" i="1" l="1"/>
  <c r="G19" i="1" s="1"/>
  <c r="H19" i="1" s="1"/>
</calcChain>
</file>

<file path=xl/sharedStrings.xml><?xml version="1.0" encoding="utf-8"?>
<sst xmlns="http://schemas.openxmlformats.org/spreadsheetml/2006/main" count="296" uniqueCount="207">
  <si>
    <t>Раздел</t>
  </si>
  <si>
    <t>Статья затрат</t>
  </si>
  <si>
    <t>Сценарий</t>
  </si>
  <si>
    <t>Тип затрат</t>
  </si>
  <si>
    <t>Год 1 (млн ₽)</t>
  </si>
  <si>
    <t>Год 2 (млн ₽)</t>
  </si>
  <si>
    <t>Год 3 (млн ₽)</t>
  </si>
  <si>
    <t>Итого 3 года (млн ₽)</t>
  </si>
  <si>
    <t>AS-IS</t>
  </si>
  <si>
    <t>Оборудование магазинов</t>
  </si>
  <si>
    <t>CapEx</t>
  </si>
  <si>
    <t>Лицензии ПО</t>
  </si>
  <si>
    <t>OpEx</t>
  </si>
  <si>
    <t>Облачная инфраструктура</t>
  </si>
  <si>
    <t>Отсутствует — всё on-premise</t>
  </si>
  <si>
    <t>ФОТ ИТ-поддержки магазинов</t>
  </si>
  <si>
    <t>AS_ENG_QTY инженеров × полная стоимость (с командировочными); рост инцидентов IDX_FOT</t>
  </si>
  <si>
    <t>Каналы связи</t>
  </si>
  <si>
    <t>Онбординг / Data Integration</t>
  </si>
  <si>
    <t>ИТОГО AS-IS</t>
  </si>
  <si>
    <t>Сумма всех статей AS-IS</t>
  </si>
  <si>
    <t>TO-BE</t>
  </si>
  <si>
    <t>Лицензии / Подписки</t>
  </si>
  <si>
    <t>Единовременная миграция</t>
  </si>
  <si>
    <t>CapEx+OpEx</t>
  </si>
  <si>
    <t>Остаточный legacy во время поэтапного cutover (Год 1)</t>
  </si>
  <si>
    <t>ИТОГО TO-BE</t>
  </si>
  <si>
    <t>Сумма всех статей TO-BE</t>
  </si>
  <si>
    <t>СРАВНЕНИЕ</t>
  </si>
  <si>
    <t>Экономия за год (AS-IS − TO-BE)</t>
  </si>
  <si>
    <t>Год 1 отрицателен: единовременная миграция и dual-run (инвестиционный год)</t>
  </si>
  <si>
    <t>Накопленная экономия</t>
  </si>
  <si>
    <t>Накопленный TCO AS-IS</t>
  </si>
  <si>
    <t>Кумулятивная стоимость владения по AS-IS</t>
  </si>
  <si>
    <t>Накопленный TCO TO-BE</t>
  </si>
  <si>
    <t>Кумулятивная стоимость владения по TO-BE</t>
  </si>
  <si>
    <t>Снижение регулярного TCO</t>
  </si>
  <si>
    <t>ИТОГИ</t>
  </si>
  <si>
    <t>Совокупная экономия за 3 года (млн ₽)</t>
  </si>
  <si>
    <t>Показатель</t>
  </si>
  <si>
    <t>Значение</t>
  </si>
  <si>
    <t>Ед. изм.</t>
  </si>
  <si>
    <t>Имя диапазона</t>
  </si>
  <si>
    <t>Комментарий</t>
  </si>
  <si>
    <t>Глобальные</t>
  </si>
  <si>
    <t>шт</t>
  </si>
  <si>
    <t>N_STORES</t>
  </si>
  <si>
    <t>Индексация и рост затрат (в год)</t>
  </si>
  <si>
    <t>Общая инфляция</t>
  </si>
  <si>
    <t>%/год</t>
  </si>
  <si>
    <t>IDX_GENERAL</t>
  </si>
  <si>
    <t>Каналы связи, облачные подписки в Год 3</t>
  </si>
  <si>
    <t>IDX_LIC</t>
  </si>
  <si>
    <t>Индексация ФОТ</t>
  </si>
  <si>
    <t>IDX_FOT</t>
  </si>
  <si>
    <t>Индексация ручного онбординга</t>
  </si>
  <si>
    <t>IDX_ONB</t>
  </si>
  <si>
    <t>Ручной труд не масштабируется под поток M&amp;A</t>
  </si>
  <si>
    <t>Рост стоимости отказов (aging)</t>
  </si>
  <si>
    <t>HW_AGING</t>
  </si>
  <si>
    <t>AS-IS · Оборудование магазина (тыс ₽)</t>
  </si>
  <si>
    <t>Локальный сервер + ИБП</t>
  </si>
  <si>
    <t>тыс ₽</t>
  </si>
  <si>
    <t>AS_SRV_COST</t>
  </si>
  <si>
    <t>Сервер в подсобке</t>
  </si>
  <si>
    <t>Срок службы сервера</t>
  </si>
  <si>
    <t>лет</t>
  </si>
  <si>
    <t>AS_SRV_LIFE</t>
  </si>
  <si>
    <t>Горизонт амортизации</t>
  </si>
  <si>
    <t>POS-ПК (толстый клиент)</t>
  </si>
  <si>
    <t>тыс ₽/шт</t>
  </si>
  <si>
    <t>AS_PC_COST</t>
  </si>
  <si>
    <t>Кассовый ПК + монитор</t>
  </si>
  <si>
    <t>POS-ПК на магазин</t>
  </si>
  <si>
    <t>AS_PC_QTY</t>
  </si>
  <si>
    <t>Срок службы POS-ПК</t>
  </si>
  <si>
    <t>AS_PC_LIFE</t>
  </si>
  <si>
    <t>Аварийный break/fix, Год 1</t>
  </si>
  <si>
    <t>тыс ₽/маг</t>
  </si>
  <si>
    <t>AS_HW_BREAKFIX</t>
  </si>
  <si>
    <t>AS-IS · Лицензии ПО (тыс ₽/маг/год)</t>
  </si>
  <si>
    <t>AS_LIC_WIN</t>
  </si>
  <si>
    <t>Лицензия/подписка ОС сервера</t>
  </si>
  <si>
    <t>MS SQL Server</t>
  </si>
  <si>
    <t>AS_LIC_SQL</t>
  </si>
  <si>
    <t>СУБД локальной базы</t>
  </si>
  <si>
    <t>Сопровождение legacy-POS</t>
  </si>
  <si>
    <t>AS_LIC_POS</t>
  </si>
  <si>
    <t>Поддержка «толстого» кассового ПО</t>
  </si>
  <si>
    <t>AS-IS · ФОТ ИТ-поддержки</t>
  </si>
  <si>
    <t>чел</t>
  </si>
  <si>
    <t>AS_ENG_QTY</t>
  </si>
  <si>
    <t>Полная стоимость инженера</t>
  </si>
  <si>
    <t>млн ₽/год</t>
  </si>
  <si>
    <t>AS_ENG_COST</t>
  </si>
  <si>
    <t>ЗП+налоги+командировочные</t>
  </si>
  <si>
    <t>AS-IS · Каналы связи</t>
  </si>
  <si>
    <t>Интернет-канал (1 шт)</t>
  </si>
  <si>
    <t>тыс ₽/маг/мес</t>
  </si>
  <si>
    <t>AS_NET_PM</t>
  </si>
  <si>
    <t>AS-IS · Онбординг / Data Integration (млн ₽/год)</t>
  </si>
  <si>
    <t>Команда товароведов (маппинг)</t>
  </si>
  <si>
    <t>AS_ONB_TEAM</t>
  </si>
  <si>
    <t>Ручной VLOOKUP, 80% позиций вручную</t>
  </si>
  <si>
    <t>AS_ONB_FIELD</t>
  </si>
  <si>
    <t>Переделки из-за ошибок (~15%)</t>
  </si>
  <si>
    <t>AS_ONB_REWORK</t>
  </si>
  <si>
    <t>Исправление сбоев цен/штрихкодов</t>
  </si>
  <si>
    <t>TO-BE · Оборудование магазина</t>
  </si>
  <si>
    <t>Планшет Cloud POS</t>
  </si>
  <si>
    <t>TB_TABLET_COST</t>
  </si>
  <si>
    <t>ККТ и терминал переиспользуются</t>
  </si>
  <si>
    <t>Срок службы планшета</t>
  </si>
  <si>
    <t>TB_TABLET_LIFE</t>
  </si>
  <si>
    <t>Break/fix планшета</t>
  </si>
  <si>
    <t>TB_HW_BREAKFIX</t>
  </si>
  <si>
    <t>Текущий ремонт/замена</t>
  </si>
  <si>
    <t>Доля затрат в Год 1 (ramp)</t>
  </si>
  <si>
    <t>доля</t>
  </si>
  <si>
    <t>TB_HW_RAMP</t>
  </si>
  <si>
    <t>Поэтапное развёртывание</t>
  </si>
  <si>
    <t>TO-BE · Лицензии / Подписки</t>
  </si>
  <si>
    <t>Cloud POS SaaS</t>
  </si>
  <si>
    <t>TB_CLOUDPOS_PM</t>
  </si>
  <si>
    <t>Подписка тонкого клиента</t>
  </si>
  <si>
    <t>Loyalty / CRM SaaS</t>
  </si>
  <si>
    <t>TB_LOYALTY_PM</t>
  </si>
  <si>
    <t>TB_SUB_RAMP</t>
  </si>
  <si>
    <t>Частичный год переезда</t>
  </si>
  <si>
    <t>TO-BE · Облачная инфраструктура</t>
  </si>
  <si>
    <t>Аллокация на магазин</t>
  </si>
  <si>
    <t>тыс ₽/маг/год</t>
  </si>
  <si>
    <t>TB_CLOUD_PS</t>
  </si>
  <si>
    <t>Managed БД, API GW, Sync, хранилище/трафик</t>
  </si>
  <si>
    <t>TB_CLOUD_RAMP</t>
  </si>
  <si>
    <t>Наполнение платформы в Год 1</t>
  </si>
  <si>
    <t>TO-BE · ФОТ ИТ-поддержки</t>
  </si>
  <si>
    <t>TB_ENG_QTY</t>
  </si>
  <si>
    <t>TB_ENG_COST</t>
  </si>
  <si>
    <t>ЗП+налоги</t>
  </si>
  <si>
    <t>Гиперкейр в Год 1</t>
  </si>
  <si>
    <t>млн ₽</t>
  </si>
  <si>
    <t>TB_FOT_HYPERCARE</t>
  </si>
  <si>
    <t>Усиленная поддержка при переходе</t>
  </si>
  <si>
    <t>Эффективность к Году 3</t>
  </si>
  <si>
    <t>TB_FOT_EFF_Y3</t>
  </si>
  <si>
    <t>Оптимизация после стабилизации</t>
  </si>
  <si>
    <t>TO-BE · Каналы связи</t>
  </si>
  <si>
    <t>Канал + LTE/4G-резерв</t>
  </si>
  <si>
    <t>TB_NET_PM</t>
  </si>
  <si>
    <t>Отказоустойчивость; офлайн-режим до 24 ч</t>
  </si>
  <si>
    <t>TB_NET_RAMP</t>
  </si>
  <si>
    <t>Поэтапное подключение</t>
  </si>
  <si>
    <t>TO-BE · Онбординг / Data Integration (млн ₽/год)</t>
  </si>
  <si>
    <t>Регулярные затраты (AI+портал)</t>
  </si>
  <si>
    <t>TB_ONB_RUN</t>
  </si>
  <si>
    <t>AI-маппинг ≥95% авто; товаровед — спорные &lt;5%</t>
  </si>
  <si>
    <t>Настройка в Год 1 (доп.)</t>
  </si>
  <si>
    <t>TB_ONB_SETUP_Y1</t>
  </si>
  <si>
    <t>TO-BE · Единовременная миграция (Год 1, млн ₽)</t>
  </si>
  <si>
    <t>Платформа, миграция данных, HAL, AI</t>
  </si>
  <si>
    <t>TB_MIG_PLATFORM</t>
  </si>
  <si>
    <t>Настройка облака, SAP→MDM, адаптеры терминалов, тюнинг AI</t>
  </si>
  <si>
    <t>Закупка+установка планшетов/edge</t>
  </si>
  <si>
    <t>TB_MIG_ROLLOUT</t>
  </si>
  <si>
    <t>Оборудование и монтаж на 100 магазинов</t>
  </si>
  <si>
    <t>Обучение и change-management</t>
  </si>
  <si>
    <t>TB_MIG_TRAINING</t>
  </si>
  <si>
    <t>Обучение, приёмка</t>
  </si>
  <si>
    <t>TO-BE · Двойной период (Год 1, млн ₽)</t>
  </si>
  <si>
    <t>Остаточный legacy (dual-run)</t>
  </si>
  <si>
    <t>TB_DUALRUN</t>
  </si>
  <si>
    <t>Часть парка ещё на старом стеке до cutover</t>
  </si>
  <si>
    <t>Итого AS-IS − Итого TO-BE</t>
  </si>
  <si>
    <t>Поддержка и ремонт стареющего локального парка растёт</t>
  </si>
  <si>
    <t>Индексация лицензий</t>
  </si>
  <si>
    <t>Сервер+ИБП и несколько (2 шт) POS-ПК на магазин; амортизация 5 лет + поддержка и ремонт, оборудование устаревает (HW_AGING)</t>
  </si>
  <si>
    <t>Windows Server + MS SQL + сопровождение legacy-POS + индексация лицензий (IDX_LIC)</t>
  </si>
  <si>
    <t>Один канал без резерва (ср. INC-8402); индексация IDX_GENERAL</t>
  </si>
  <si>
    <t>Ручной маппинг (80% вручную) + выезды за данными + переделки из-за 15% ошибок; ручной труд растёт IDX_ONB</t>
  </si>
  <si>
    <t>Только планшет (амортизация 4 года) + поддержка и ремонт; ККТ/терминал переиспользуются; Год 1 — ramp период</t>
  </si>
  <si>
    <t>Cloud POS + Loyalty/CRM; Год 1 — ramp период; Год 3 — индексация</t>
  </si>
  <si>
    <t>Managed БД, API GW, Sync, хранилище/трафик; Год 1 — ramp</t>
  </si>
  <si>
    <t>Нет локальных серверов -&gt; нет выездов на аварии; Год 1 — гиперкейр; Год 3 — оптимизация</t>
  </si>
  <si>
    <t>Канал + LTE/4G-резерв ради отказоустойчивости; Год 1 — ramp период</t>
  </si>
  <si>
    <t>AI-маппинг (≥95% авто) + портал; товаровед — только спорные &lt;5%; Год 1 — настройка</t>
  </si>
  <si>
    <t>Платформа/миграция SAP -&gt; MDM/HAL-адаптеры/AI + планшеты/edge + обучение</t>
  </si>
  <si>
    <t>Двойной период (dual-run) / вывод legacy</t>
  </si>
  <si>
    <t>Снижение годового TCO относительно AS-IS</t>
  </si>
  <si>
    <t>Параметры для модели TCO — входные ячейки выделены жёлтым</t>
  </si>
  <si>
    <t>Число магазинов</t>
  </si>
  <si>
    <t>Продление лицензий</t>
  </si>
  <si>
    <t>Рост ЗП + числа инцидентов на стареющем парке оборудования</t>
  </si>
  <si>
    <t>Число касс/ПК на магазин</t>
  </si>
  <si>
    <t>Windows Server</t>
  </si>
  <si>
    <t>Выездные инженеры Store Ops</t>
  </si>
  <si>
    <t>Примерно 1 инженер на 15-20 магазинов</t>
  </si>
  <si>
    <t>Замена дисков/БП, выезды (см. INC-8433)</t>
  </si>
  <si>
    <t>Один канал без резервирования (см. INC-8402)</t>
  </si>
  <si>
    <t>Выездной сбор данных (дампов)</t>
  </si>
  <si>
    <t>Командировки инженеров за данными</t>
  </si>
  <si>
    <t>Вместо «тетрадки»</t>
  </si>
  <si>
    <t>Примерно 1 инженер на 50 магазинов (нет локальных серверов)</t>
  </si>
  <si>
    <t>Первичная настройка пайплайна</t>
  </si>
  <si>
    <t>ROI</t>
  </si>
  <si>
    <t>Выгода за 3 года / инвестиция перехода (миграция + dual-run)</t>
  </si>
  <si>
    <r>
      <t xml:space="preserve">Кумулятивная разница TCO; </t>
    </r>
    <r>
      <rPr>
        <b/>
        <sz val="11"/>
        <color theme="1"/>
        <rFont val="Calibri"/>
        <family val="2"/>
        <scheme val="minor"/>
      </rPr>
      <t>переход в плюс — во время Года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</si>
</sst>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7202A"/>
      </patternFill>
    </fill>
    <fill>
      <patternFill patternType="solid">
        <fgColor rgb="FFFDEDEC"/>
      </patternFill>
    </fill>
    <fill>
      <patternFill patternType="solid">
        <fgColor rgb="FFD5DBDB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D5F5E3"/>
      </patternFill>
    </fill>
    <fill>
      <patternFill patternType="solid">
        <fgColor rgb="FF2C3E50"/>
      </patternFill>
    </fill>
    <fill>
      <patternFill patternType="solid">
        <fgColor rgb="FFFCF3CF"/>
      </patternFill>
    </fill>
    <fill>
      <patternFill patternType="solid">
        <fgColor rgb="FFD5F5E3"/>
        <bgColor indexed="64"/>
      </patternFill>
    </fill>
  </fills>
  <borders count="2">
    <border>
      <left/>
      <right/>
      <top/>
      <bottom/>
      <diagonal/>
    </border>
    <border>
      <left style="thin">
        <color rgb="FFAEB6BF"/>
      </left>
      <right style="thin">
        <color rgb="FFAEB6BF"/>
      </right>
      <top style="thin">
        <color rgb="FFAEB6BF"/>
      </top>
      <bottom style="thin">
        <color rgb="FFAEB6B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0" fillId="8" borderId="1" xfId="0" applyFill="1" applyBorder="1"/>
    <xf numFmtId="0" fontId="0" fillId="0" borderId="1" xfId="0" applyBorder="1"/>
    <xf numFmtId="4" fontId="2" fillId="9" borderId="1" xfId="0" applyNumberFormat="1" applyFont="1" applyFill="1" applyBorder="1"/>
    <xf numFmtId="0" fontId="0" fillId="0" borderId="1" xfId="0" applyBorder="1" applyAlignment="1">
      <alignment vertical="top" wrapText="1"/>
    </xf>
    <xf numFmtId="164" fontId="2" fillId="9" borderId="1" xfId="0" applyNumberFormat="1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0" borderId="0" xfId="0" applyAlignment="1">
      <alignment vertical="center"/>
    </xf>
    <xf numFmtId="4" fontId="0" fillId="3" borderId="1" xfId="0" applyNumberFormat="1" applyFill="1" applyBorder="1" applyAlignment="1">
      <alignment vertical="center"/>
    </xf>
    <xf numFmtId="4" fontId="2" fillId="4" borderId="1" xfId="0" applyNumberFormat="1" applyFont="1" applyFill="1" applyBorder="1" applyAlignment="1">
      <alignment vertical="center"/>
    </xf>
    <xf numFmtId="4" fontId="0" fillId="5" borderId="1" xfId="0" applyNumberFormat="1" applyFill="1" applyBorder="1" applyAlignment="1">
      <alignment vertical="center"/>
    </xf>
    <xf numFmtId="4" fontId="0" fillId="6" borderId="1" xfId="0" applyNumberFormat="1" applyFill="1" applyBorder="1" applyAlignment="1">
      <alignment vertical="center"/>
    </xf>
    <xf numFmtId="4" fontId="2" fillId="7" borderId="1" xfId="0" applyNumberFormat="1" applyFont="1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164" fontId="4" fillId="6" borderId="1" xfId="0" applyNumberFormat="1" applyFont="1" applyFill="1" applyBorder="1" applyAlignment="1">
      <alignment vertical="center"/>
    </xf>
    <xf numFmtId="0" fontId="5" fillId="0" borderId="0" xfId="0" applyFont="1"/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vertical="center"/>
    </xf>
    <xf numFmtId="10" fontId="4" fillId="10" borderId="1" xfId="0" applyNumberFormat="1" applyFont="1" applyFill="1" applyBorder="1" applyAlignment="1">
      <alignment vertical="center"/>
    </xf>
    <xf numFmtId="0" fontId="0" fillId="1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5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15" workbookViewId="0">
      <pane ySplit="1" topLeftCell="A2" activePane="bottomLeft" state="frozen"/>
      <selection pane="bottomLeft" activeCell="I20" sqref="I20"/>
    </sheetView>
  </sheetViews>
  <sheetFormatPr baseColWidth="10" defaultColWidth="8.83203125" defaultRowHeight="15" x14ac:dyDescent="0.2"/>
  <cols>
    <col min="1" max="1" width="12" style="14" customWidth="1"/>
    <col min="2" max="2" width="36" style="20" customWidth="1"/>
    <col min="3" max="3" width="9" style="14" customWidth="1"/>
    <col min="4" max="4" width="12" style="14" customWidth="1"/>
    <col min="5" max="7" width="12" style="20" customWidth="1"/>
    <col min="8" max="8" width="16" style="20" customWidth="1"/>
    <col min="9" max="9" width="72" style="20" customWidth="1"/>
  </cols>
  <sheetData>
    <row r="1" spans="1:9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43</v>
      </c>
    </row>
    <row r="2" spans="1:9" ht="32" x14ac:dyDescent="0.2">
      <c r="A2" s="9" t="s">
        <v>8</v>
      </c>
      <c r="B2" s="15" t="s">
        <v>9</v>
      </c>
      <c r="C2" s="9" t="s">
        <v>8</v>
      </c>
      <c r="D2" s="9" t="s">
        <v>10</v>
      </c>
      <c r="E2" s="21">
        <f>(AS_SRV_COST/AS_SRV_LIFE+AS_PC_COST*AS_PC_QTY/AS_PC_LIFE+AS_HW_BREAKFIX)*N_STORES/1000</f>
        <v>9</v>
      </c>
      <c r="F2" s="21">
        <f>(AS_SRV_COST/AS_SRV_LIFE+AS_PC_COST*AS_PC_QTY/AS_PC_LIFE+AS_HW_BREAKFIX*(1+HW_AGING))*N_STORES/1000</f>
        <v>9.84</v>
      </c>
      <c r="G2" s="21">
        <f>(AS_SRV_COST/AS_SRV_LIFE+AS_PC_COST*AS_PC_QTY/AS_PC_LIFE+AS_HW_BREAKFIX*(1+HW_AGING)^2)*N_STORES/1000</f>
        <v>10.932</v>
      </c>
      <c r="H2" s="21">
        <f t="shared" ref="H2:H18" si="0">SUM(E2:G2)</f>
        <v>29.771999999999998</v>
      </c>
      <c r="I2" s="15" t="s">
        <v>176</v>
      </c>
    </row>
    <row r="3" spans="1:9" ht="16" x14ac:dyDescent="0.2">
      <c r="A3" s="9" t="s">
        <v>8</v>
      </c>
      <c r="B3" s="15" t="s">
        <v>11</v>
      </c>
      <c r="C3" s="9" t="s">
        <v>8</v>
      </c>
      <c r="D3" s="9" t="s">
        <v>12</v>
      </c>
      <c r="E3" s="21">
        <f>(AS_LIC_WIN+AS_LIC_SQL+AS_LIC_POS)*N_STORES/1000</f>
        <v>16</v>
      </c>
      <c r="F3" s="21">
        <f>E3*(1+IDX_LIC)</f>
        <v>17.28</v>
      </c>
      <c r="G3" s="21">
        <f>F3*(1+IDX_LIC)</f>
        <v>18.662400000000002</v>
      </c>
      <c r="H3" s="21">
        <f t="shared" si="0"/>
        <v>51.942400000000006</v>
      </c>
      <c r="I3" s="15" t="s">
        <v>177</v>
      </c>
    </row>
    <row r="4" spans="1:9" ht="16" x14ac:dyDescent="0.2">
      <c r="A4" s="9" t="s">
        <v>8</v>
      </c>
      <c r="B4" s="15" t="s">
        <v>13</v>
      </c>
      <c r="C4" s="9" t="s">
        <v>8</v>
      </c>
      <c r="D4" s="9" t="s">
        <v>12</v>
      </c>
      <c r="E4" s="21">
        <f>0</f>
        <v>0</v>
      </c>
      <c r="F4" s="21">
        <f>0</f>
        <v>0</v>
      </c>
      <c r="G4" s="21">
        <f>0</f>
        <v>0</v>
      </c>
      <c r="H4" s="21">
        <f t="shared" si="0"/>
        <v>0</v>
      </c>
      <c r="I4" s="15" t="s">
        <v>14</v>
      </c>
    </row>
    <row r="5" spans="1:9" ht="32" x14ac:dyDescent="0.2">
      <c r="A5" s="9" t="s">
        <v>8</v>
      </c>
      <c r="B5" s="15" t="s">
        <v>15</v>
      </c>
      <c r="C5" s="9" t="s">
        <v>8</v>
      </c>
      <c r="D5" s="9" t="s">
        <v>12</v>
      </c>
      <c r="E5" s="21">
        <f>AS_ENG_QTY*AS_ENG_COST</f>
        <v>15</v>
      </c>
      <c r="F5" s="21">
        <f>E5*(1+IDX_FOT)</f>
        <v>16.200000000000003</v>
      </c>
      <c r="G5" s="21">
        <f>F5*(1+IDX_FOT)</f>
        <v>17.496000000000006</v>
      </c>
      <c r="H5" s="21">
        <f t="shared" si="0"/>
        <v>48.696000000000012</v>
      </c>
      <c r="I5" s="15" t="s">
        <v>16</v>
      </c>
    </row>
    <row r="6" spans="1:9" ht="16" x14ac:dyDescent="0.2">
      <c r="A6" s="9" t="s">
        <v>8</v>
      </c>
      <c r="B6" s="15" t="s">
        <v>17</v>
      </c>
      <c r="C6" s="9" t="s">
        <v>8</v>
      </c>
      <c r="D6" s="9" t="s">
        <v>12</v>
      </c>
      <c r="E6" s="21">
        <f>AS_NET_PM*12*N_STORES/1000</f>
        <v>6</v>
      </c>
      <c r="F6" s="21">
        <f>E6*(1+IDX_GENERAL)</f>
        <v>6.18</v>
      </c>
      <c r="G6" s="21">
        <f>F6*(1+IDX_GENERAL)</f>
        <v>6.3654000000000002</v>
      </c>
      <c r="H6" s="21">
        <f t="shared" si="0"/>
        <v>18.545400000000001</v>
      </c>
      <c r="I6" s="15" t="s">
        <v>178</v>
      </c>
    </row>
    <row r="7" spans="1:9" ht="32" x14ac:dyDescent="0.2">
      <c r="A7" s="9" t="s">
        <v>8</v>
      </c>
      <c r="B7" s="15" t="s">
        <v>18</v>
      </c>
      <c r="C7" s="9" t="s">
        <v>8</v>
      </c>
      <c r="D7" s="9" t="s">
        <v>12</v>
      </c>
      <c r="E7" s="21">
        <f>AS_ONB_TEAM+AS_ONB_FIELD+AS_ONB_REWORK</f>
        <v>7</v>
      </c>
      <c r="F7" s="21">
        <f>E7*(1+IDX_ONB)</f>
        <v>7.7000000000000011</v>
      </c>
      <c r="G7" s="21">
        <f>F7*(1+IDX_ONB)</f>
        <v>8.4700000000000024</v>
      </c>
      <c r="H7" s="21">
        <f t="shared" si="0"/>
        <v>23.17</v>
      </c>
      <c r="I7" s="15" t="s">
        <v>179</v>
      </c>
    </row>
    <row r="8" spans="1:9" ht="16" x14ac:dyDescent="0.2">
      <c r="A8" s="10" t="s">
        <v>8</v>
      </c>
      <c r="B8" s="16" t="s">
        <v>19</v>
      </c>
      <c r="C8" s="10" t="s">
        <v>8</v>
      </c>
      <c r="D8" s="10"/>
      <c r="E8" s="22">
        <f>SUM(E2:E7)</f>
        <v>53</v>
      </c>
      <c r="F8" s="22">
        <f>SUM(F2:F7)</f>
        <v>57.20000000000001</v>
      </c>
      <c r="G8" s="22">
        <f>SUM(G2:G7)</f>
        <v>61.92580000000001</v>
      </c>
      <c r="H8" s="22">
        <f t="shared" si="0"/>
        <v>172.12580000000003</v>
      </c>
      <c r="I8" s="26" t="s">
        <v>20</v>
      </c>
    </row>
    <row r="9" spans="1:9" ht="32" x14ac:dyDescent="0.2">
      <c r="A9" s="11" t="s">
        <v>21</v>
      </c>
      <c r="B9" s="17" t="s">
        <v>9</v>
      </c>
      <c r="C9" s="11" t="s">
        <v>21</v>
      </c>
      <c r="D9" s="11" t="s">
        <v>10</v>
      </c>
      <c r="E9" s="23">
        <f>(TB_TABLET_COST/TB_TABLET_LIFE+TB_HW_BREAKFIX)*N_STORES/1000*TB_HW_RAMP</f>
        <v>1.0000499999999999</v>
      </c>
      <c r="F9" s="23">
        <f>(TB_TABLET_COST/TB_TABLET_LIFE+TB_HW_BREAKFIX)*N_STORES/1000</f>
        <v>1.5</v>
      </c>
      <c r="G9" s="23">
        <f>F9</f>
        <v>1.5</v>
      </c>
      <c r="H9" s="23">
        <f t="shared" si="0"/>
        <v>4.0000499999999999</v>
      </c>
      <c r="I9" s="17" t="s">
        <v>180</v>
      </c>
    </row>
    <row r="10" spans="1:9" ht="16" x14ac:dyDescent="0.2">
      <c r="A10" s="11" t="s">
        <v>21</v>
      </c>
      <c r="B10" s="17" t="s">
        <v>22</v>
      </c>
      <c r="C10" s="11" t="s">
        <v>21</v>
      </c>
      <c r="D10" s="11" t="s">
        <v>12</v>
      </c>
      <c r="E10" s="23">
        <f>(TB_CLOUDPOS_PM+TB_LOYALTY_PM)*12*N_STORES/1000*TB_SUB_RAMP</f>
        <v>4.6199999999999992</v>
      </c>
      <c r="F10" s="23">
        <f>(TB_CLOUDPOS_PM+TB_LOYALTY_PM)*12*N_STORES/1000</f>
        <v>6.6</v>
      </c>
      <c r="G10" s="23">
        <f>F10*(1+IDX_GENERAL)</f>
        <v>6.798</v>
      </c>
      <c r="H10" s="23">
        <f t="shared" si="0"/>
        <v>18.018000000000001</v>
      </c>
      <c r="I10" s="17" t="s">
        <v>181</v>
      </c>
    </row>
    <row r="11" spans="1:9" ht="16" x14ac:dyDescent="0.2">
      <c r="A11" s="11" t="s">
        <v>21</v>
      </c>
      <c r="B11" s="17" t="s">
        <v>13</v>
      </c>
      <c r="C11" s="11" t="s">
        <v>21</v>
      </c>
      <c r="D11" s="11" t="s">
        <v>12</v>
      </c>
      <c r="E11" s="23">
        <f>TB_CLOUD_PS*N_STORES/1000*TB_CLOUD_RAMP</f>
        <v>5.6</v>
      </c>
      <c r="F11" s="23">
        <f>TB_CLOUD_PS*N_STORES/1000</f>
        <v>8</v>
      </c>
      <c r="G11" s="23">
        <f>F11*(1+IDX_GENERAL)</f>
        <v>8.24</v>
      </c>
      <c r="H11" s="23">
        <f t="shared" si="0"/>
        <v>21.84</v>
      </c>
      <c r="I11" s="17" t="s">
        <v>182</v>
      </c>
    </row>
    <row r="12" spans="1:9" ht="32" x14ac:dyDescent="0.2">
      <c r="A12" s="11" t="s">
        <v>21</v>
      </c>
      <c r="B12" s="17" t="s">
        <v>15</v>
      </c>
      <c r="C12" s="11" t="s">
        <v>21</v>
      </c>
      <c r="D12" s="11" t="s">
        <v>12</v>
      </c>
      <c r="E12" s="23">
        <f>TB_ENG_QTY*TB_ENG_COST+TB_FOT_HYPERCARE</f>
        <v>8</v>
      </c>
      <c r="F12" s="23">
        <f>TB_ENG_QTY*TB_ENG_COST</f>
        <v>5</v>
      </c>
      <c r="G12" s="23">
        <f>TB_ENG_QTY*TB_ENG_COST*TB_FOT_EFF_Y3</f>
        <v>4.8</v>
      </c>
      <c r="H12" s="23">
        <f t="shared" si="0"/>
        <v>17.8</v>
      </c>
      <c r="I12" s="17" t="s">
        <v>183</v>
      </c>
    </row>
    <row r="13" spans="1:9" ht="16" x14ac:dyDescent="0.2">
      <c r="A13" s="11" t="s">
        <v>21</v>
      </c>
      <c r="B13" s="17" t="s">
        <v>17</v>
      </c>
      <c r="C13" s="11" t="s">
        <v>21</v>
      </c>
      <c r="D13" s="11" t="s">
        <v>12</v>
      </c>
      <c r="E13" s="23">
        <f>TB_NET_PM*12*N_STORES/1000*TB_NET_RAMP</f>
        <v>6.48</v>
      </c>
      <c r="F13" s="23">
        <f>TB_NET_PM*12*N_STORES/1000</f>
        <v>7.2</v>
      </c>
      <c r="G13" s="23">
        <f>F13*(1+IDX_GENERAL)</f>
        <v>7.4160000000000004</v>
      </c>
      <c r="H13" s="23">
        <f t="shared" si="0"/>
        <v>21.096</v>
      </c>
      <c r="I13" s="17" t="s">
        <v>184</v>
      </c>
    </row>
    <row r="14" spans="1:9" ht="16" x14ac:dyDescent="0.2">
      <c r="A14" s="11" t="s">
        <v>21</v>
      </c>
      <c r="B14" s="17" t="s">
        <v>18</v>
      </c>
      <c r="C14" s="11" t="s">
        <v>21</v>
      </c>
      <c r="D14" s="11" t="s">
        <v>12</v>
      </c>
      <c r="E14" s="23">
        <f>TB_ONB_RUN+TB_ONB_SETUP_Y1</f>
        <v>3</v>
      </c>
      <c r="F14" s="23">
        <f>TB_ONB_RUN</f>
        <v>2</v>
      </c>
      <c r="G14" s="23">
        <f>F14*(1+IDX_GENERAL)</f>
        <v>2.06</v>
      </c>
      <c r="H14" s="23">
        <f t="shared" si="0"/>
        <v>7.0600000000000005</v>
      </c>
      <c r="I14" s="17" t="s">
        <v>185</v>
      </c>
    </row>
    <row r="15" spans="1:9" ht="16" x14ac:dyDescent="0.2">
      <c r="A15" s="11" t="s">
        <v>21</v>
      </c>
      <c r="B15" s="17" t="s">
        <v>23</v>
      </c>
      <c r="C15" s="11" t="s">
        <v>21</v>
      </c>
      <c r="D15" s="11" t="s">
        <v>24</v>
      </c>
      <c r="E15" s="23">
        <f>TB_MIG_PLATFORM+TB_MIG_ROLLOUT+TB_MIG_TRAINING</f>
        <v>25</v>
      </c>
      <c r="F15" s="23">
        <f>0</f>
        <v>0</v>
      </c>
      <c r="G15" s="23">
        <f>0</f>
        <v>0</v>
      </c>
      <c r="H15" s="23">
        <f t="shared" si="0"/>
        <v>25</v>
      </c>
      <c r="I15" s="17" t="s">
        <v>186</v>
      </c>
    </row>
    <row r="16" spans="1:9" ht="16" x14ac:dyDescent="0.2">
      <c r="A16" s="11" t="s">
        <v>21</v>
      </c>
      <c r="B16" s="17" t="s">
        <v>187</v>
      </c>
      <c r="C16" s="11" t="s">
        <v>21</v>
      </c>
      <c r="D16" s="11" t="s">
        <v>12</v>
      </c>
      <c r="E16" s="23">
        <f>TB_DUALRUN</f>
        <v>10</v>
      </c>
      <c r="F16" s="23">
        <f>0</f>
        <v>0</v>
      </c>
      <c r="G16" s="23">
        <f>0</f>
        <v>0</v>
      </c>
      <c r="H16" s="23">
        <f t="shared" si="0"/>
        <v>10</v>
      </c>
      <c r="I16" s="17" t="s">
        <v>25</v>
      </c>
    </row>
    <row r="17" spans="1:9" ht="16" x14ac:dyDescent="0.2">
      <c r="A17" s="10" t="s">
        <v>21</v>
      </c>
      <c r="B17" s="16" t="s">
        <v>26</v>
      </c>
      <c r="C17" s="10" t="s">
        <v>21</v>
      </c>
      <c r="D17" s="10"/>
      <c r="E17" s="22">
        <f>SUM(E9:E16)</f>
        <v>63.700050000000005</v>
      </c>
      <c r="F17" s="22">
        <f>SUM(F9:F16)</f>
        <v>30.3</v>
      </c>
      <c r="G17" s="22">
        <f>SUM(G9:G16)</f>
        <v>30.814</v>
      </c>
      <c r="H17" s="22">
        <f t="shared" si="0"/>
        <v>124.81405000000001</v>
      </c>
      <c r="I17" s="26" t="s">
        <v>27</v>
      </c>
    </row>
    <row r="18" spans="1:9" ht="16" x14ac:dyDescent="0.2">
      <c r="A18" s="12" t="s">
        <v>28</v>
      </c>
      <c r="B18" s="18" t="s">
        <v>29</v>
      </c>
      <c r="C18" s="12"/>
      <c r="D18" s="12"/>
      <c r="E18" s="24">
        <f>E8-E17</f>
        <v>-10.700050000000005</v>
      </c>
      <c r="F18" s="24">
        <f>F8-F17</f>
        <v>26.900000000000009</v>
      </c>
      <c r="G18" s="24">
        <f>G8-G17</f>
        <v>31.111800000000009</v>
      </c>
      <c r="H18" s="24">
        <f t="shared" si="0"/>
        <v>47.311750000000018</v>
      </c>
      <c r="I18" s="27" t="s">
        <v>30</v>
      </c>
    </row>
    <row r="19" spans="1:9" ht="16" x14ac:dyDescent="0.2">
      <c r="A19" s="12" t="s">
        <v>28</v>
      </c>
      <c r="B19" s="18" t="s">
        <v>31</v>
      </c>
      <c r="C19" s="12"/>
      <c r="D19" s="12"/>
      <c r="E19" s="24">
        <f>E18</f>
        <v>-10.700050000000005</v>
      </c>
      <c r="F19" s="24">
        <f>E19+F18</f>
        <v>16.199950000000005</v>
      </c>
      <c r="G19" s="24">
        <f>F19+G18</f>
        <v>47.311750000000018</v>
      </c>
      <c r="H19" s="24">
        <f>G19</f>
        <v>47.311750000000018</v>
      </c>
      <c r="I19" s="27" t="s">
        <v>206</v>
      </c>
    </row>
    <row r="20" spans="1:9" ht="16" x14ac:dyDescent="0.2">
      <c r="A20" s="12" t="s">
        <v>28</v>
      </c>
      <c r="B20" s="18" t="s">
        <v>32</v>
      </c>
      <c r="C20" s="12"/>
      <c r="D20" s="12"/>
      <c r="E20" s="24">
        <f>E8</f>
        <v>53</v>
      </c>
      <c r="F20" s="24">
        <f>E20+F8</f>
        <v>110.20000000000002</v>
      </c>
      <c r="G20" s="24">
        <f>F20+G8</f>
        <v>172.12580000000003</v>
      </c>
      <c r="H20" s="18"/>
      <c r="I20" s="27" t="s">
        <v>33</v>
      </c>
    </row>
    <row r="21" spans="1:9" ht="16" x14ac:dyDescent="0.2">
      <c r="A21" s="12" t="s">
        <v>28</v>
      </c>
      <c r="B21" s="18" t="s">
        <v>34</v>
      </c>
      <c r="C21" s="12"/>
      <c r="D21" s="12"/>
      <c r="E21" s="24">
        <f>E17</f>
        <v>63.700050000000005</v>
      </c>
      <c r="F21" s="24">
        <f>E21+F17</f>
        <v>94.000050000000002</v>
      </c>
      <c r="G21" s="24">
        <f>F21+G17</f>
        <v>124.81405000000001</v>
      </c>
      <c r="H21" s="18"/>
      <c r="I21" s="27" t="s">
        <v>35</v>
      </c>
    </row>
    <row r="22" spans="1:9" ht="16" x14ac:dyDescent="0.2">
      <c r="A22" s="12" t="s">
        <v>28</v>
      </c>
      <c r="B22" s="18" t="s">
        <v>36</v>
      </c>
      <c r="C22" s="12"/>
      <c r="D22" s="12"/>
      <c r="E22" s="18"/>
      <c r="F22" s="29">
        <f>(F8-F17)/F8</f>
        <v>0.47027972027972037</v>
      </c>
      <c r="G22" s="29">
        <f>(G8-G17)/G8</f>
        <v>0.50240449053544733</v>
      </c>
      <c r="H22" s="18"/>
      <c r="I22" s="27" t="s">
        <v>188</v>
      </c>
    </row>
    <row r="23" spans="1:9" ht="16" x14ac:dyDescent="0.2">
      <c r="A23" s="13" t="s">
        <v>37</v>
      </c>
      <c r="B23" s="31" t="s">
        <v>204</v>
      </c>
      <c r="C23" s="32"/>
      <c r="D23" s="32"/>
      <c r="E23" s="31"/>
      <c r="F23" s="33"/>
      <c r="G23" s="33"/>
      <c r="H23" s="34">
        <f>(H8-H17)/(E15+E16)</f>
        <v>1.3517642857142862</v>
      </c>
      <c r="I23" s="35" t="s">
        <v>205</v>
      </c>
    </row>
    <row r="24" spans="1:9" ht="16" x14ac:dyDescent="0.2">
      <c r="A24" s="13" t="s">
        <v>37</v>
      </c>
      <c r="B24" s="19" t="s">
        <v>38</v>
      </c>
      <c r="C24" s="13"/>
      <c r="D24" s="13"/>
      <c r="E24" s="19"/>
      <c r="F24" s="19"/>
      <c r="G24" s="19"/>
      <c r="H24" s="25">
        <f>H8-H17</f>
        <v>47.311750000000018</v>
      </c>
      <c r="I24" s="28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9"/>
  <sheetViews>
    <sheetView zoomScale="119" workbookViewId="0">
      <pane ySplit="2" topLeftCell="A35" activePane="bottomLeft" state="frozen"/>
      <selection pane="bottomLeft" activeCell="E55" sqref="E55"/>
    </sheetView>
  </sheetViews>
  <sheetFormatPr baseColWidth="10" defaultColWidth="8.83203125" defaultRowHeight="15" x14ac:dyDescent="0.2"/>
  <cols>
    <col min="1" max="1" width="34" customWidth="1"/>
    <col min="2" max="2" width="11" customWidth="1"/>
    <col min="3" max="3" width="15" customWidth="1"/>
    <col min="4" max="4" width="20" customWidth="1"/>
    <col min="5" max="5" width="54" customWidth="1"/>
  </cols>
  <sheetData>
    <row r="1" spans="1:5" x14ac:dyDescent="0.2">
      <c r="A1" s="30" t="s">
        <v>189</v>
      </c>
    </row>
    <row r="2" spans="1:5" ht="16" x14ac:dyDescent="0.2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</row>
    <row r="3" spans="1:5" x14ac:dyDescent="0.2">
      <c r="A3" s="2" t="s">
        <v>44</v>
      </c>
      <c r="B3" s="3"/>
      <c r="C3" s="3"/>
      <c r="D3" s="3"/>
      <c r="E3" s="3"/>
    </row>
    <row r="4" spans="1:5" x14ac:dyDescent="0.2">
      <c r="A4" s="4" t="s">
        <v>190</v>
      </c>
      <c r="B4" s="5">
        <v>100</v>
      </c>
      <c r="C4" s="4" t="s">
        <v>45</v>
      </c>
      <c r="D4" s="4" t="s">
        <v>46</v>
      </c>
      <c r="E4" s="6"/>
    </row>
    <row r="5" spans="1:5" x14ac:dyDescent="0.2">
      <c r="A5" s="2" t="s">
        <v>47</v>
      </c>
      <c r="B5" s="3"/>
      <c r="C5" s="3"/>
      <c r="D5" s="3"/>
      <c r="E5" s="3"/>
    </row>
    <row r="6" spans="1:5" ht="16" x14ac:dyDescent="0.2">
      <c r="A6" s="4" t="s">
        <v>48</v>
      </c>
      <c r="B6" s="7">
        <v>0.03</v>
      </c>
      <c r="C6" s="4" t="s">
        <v>49</v>
      </c>
      <c r="D6" s="4" t="s">
        <v>50</v>
      </c>
      <c r="E6" s="6" t="s">
        <v>51</v>
      </c>
    </row>
    <row r="7" spans="1:5" ht="16" x14ac:dyDescent="0.2">
      <c r="A7" s="4" t="s">
        <v>175</v>
      </c>
      <c r="B7" s="7">
        <v>0.08</v>
      </c>
      <c r="C7" s="4" t="s">
        <v>49</v>
      </c>
      <c r="D7" s="4" t="s">
        <v>52</v>
      </c>
      <c r="E7" s="6" t="s">
        <v>191</v>
      </c>
    </row>
    <row r="8" spans="1:5" ht="16" x14ac:dyDescent="0.2">
      <c r="A8" s="4" t="s">
        <v>53</v>
      </c>
      <c r="B8" s="7">
        <v>0.08</v>
      </c>
      <c r="C8" s="4" t="s">
        <v>49</v>
      </c>
      <c r="D8" s="4" t="s">
        <v>54</v>
      </c>
      <c r="E8" s="6" t="s">
        <v>192</v>
      </c>
    </row>
    <row r="9" spans="1:5" ht="16" x14ac:dyDescent="0.2">
      <c r="A9" s="4" t="s">
        <v>55</v>
      </c>
      <c r="B9" s="7">
        <v>0.1</v>
      </c>
      <c r="C9" s="4" t="s">
        <v>49</v>
      </c>
      <c r="D9" s="4" t="s">
        <v>56</v>
      </c>
      <c r="E9" s="6" t="s">
        <v>57</v>
      </c>
    </row>
    <row r="10" spans="1:5" ht="16" x14ac:dyDescent="0.2">
      <c r="A10" s="4" t="s">
        <v>58</v>
      </c>
      <c r="B10" s="7">
        <v>0.3</v>
      </c>
      <c r="C10" s="4" t="s">
        <v>49</v>
      </c>
      <c r="D10" s="4" t="s">
        <v>59</v>
      </c>
      <c r="E10" s="6" t="s">
        <v>174</v>
      </c>
    </row>
    <row r="11" spans="1:5" x14ac:dyDescent="0.2">
      <c r="A11" s="2" t="s">
        <v>60</v>
      </c>
      <c r="B11" s="3"/>
      <c r="C11" s="3"/>
      <c r="D11" s="3"/>
      <c r="E11" s="3"/>
    </row>
    <row r="12" spans="1:5" ht="16" x14ac:dyDescent="0.2">
      <c r="A12" s="4" t="s">
        <v>61</v>
      </c>
      <c r="B12" s="5">
        <v>180</v>
      </c>
      <c r="C12" s="4" t="s">
        <v>62</v>
      </c>
      <c r="D12" s="4" t="s">
        <v>63</v>
      </c>
      <c r="E12" s="6" t="s">
        <v>64</v>
      </c>
    </row>
    <row r="13" spans="1:5" ht="16" x14ac:dyDescent="0.2">
      <c r="A13" s="4" t="s">
        <v>65</v>
      </c>
      <c r="B13" s="5">
        <v>5</v>
      </c>
      <c r="C13" s="4" t="s">
        <v>66</v>
      </c>
      <c r="D13" s="4" t="s">
        <v>67</v>
      </c>
      <c r="E13" s="6" t="s">
        <v>68</v>
      </c>
    </row>
    <row r="14" spans="1:5" ht="16" x14ac:dyDescent="0.2">
      <c r="A14" s="4" t="s">
        <v>69</v>
      </c>
      <c r="B14" s="5">
        <v>65</v>
      </c>
      <c r="C14" s="4" t="s">
        <v>70</v>
      </c>
      <c r="D14" s="4" t="s">
        <v>71</v>
      </c>
      <c r="E14" s="6" t="s">
        <v>72</v>
      </c>
    </row>
    <row r="15" spans="1:5" ht="16" x14ac:dyDescent="0.2">
      <c r="A15" s="4" t="s">
        <v>73</v>
      </c>
      <c r="B15" s="5">
        <v>2</v>
      </c>
      <c r="C15" s="4" t="s">
        <v>45</v>
      </c>
      <c r="D15" s="4" t="s">
        <v>74</v>
      </c>
      <c r="E15" s="6" t="s">
        <v>193</v>
      </c>
    </row>
    <row r="16" spans="1:5" ht="16" x14ac:dyDescent="0.2">
      <c r="A16" s="4" t="s">
        <v>75</v>
      </c>
      <c r="B16" s="5">
        <v>5</v>
      </c>
      <c r="C16" s="4" t="s">
        <v>66</v>
      </c>
      <c r="D16" s="4" t="s">
        <v>76</v>
      </c>
      <c r="E16" s="6" t="s">
        <v>68</v>
      </c>
    </row>
    <row r="17" spans="1:5" ht="16" x14ac:dyDescent="0.2">
      <c r="A17" s="4" t="s">
        <v>77</v>
      </c>
      <c r="B17" s="5">
        <v>28</v>
      </c>
      <c r="C17" s="4" t="s">
        <v>78</v>
      </c>
      <c r="D17" s="4" t="s">
        <v>79</v>
      </c>
      <c r="E17" s="6" t="s">
        <v>197</v>
      </c>
    </row>
    <row r="18" spans="1:5" x14ac:dyDescent="0.2">
      <c r="A18" s="2" t="s">
        <v>80</v>
      </c>
      <c r="B18" s="3"/>
      <c r="C18" s="3"/>
      <c r="D18" s="3"/>
      <c r="E18" s="3"/>
    </row>
    <row r="19" spans="1:5" ht="16" x14ac:dyDescent="0.2">
      <c r="A19" s="4" t="s">
        <v>194</v>
      </c>
      <c r="B19" s="5">
        <v>55</v>
      </c>
      <c r="C19" s="4" t="s">
        <v>78</v>
      </c>
      <c r="D19" s="4" t="s">
        <v>81</v>
      </c>
      <c r="E19" s="6" t="s">
        <v>82</v>
      </c>
    </row>
    <row r="20" spans="1:5" ht="16" x14ac:dyDescent="0.2">
      <c r="A20" s="4" t="s">
        <v>83</v>
      </c>
      <c r="B20" s="5">
        <v>65</v>
      </c>
      <c r="C20" s="4" t="s">
        <v>78</v>
      </c>
      <c r="D20" s="4" t="s">
        <v>84</v>
      </c>
      <c r="E20" s="6" t="s">
        <v>85</v>
      </c>
    </row>
    <row r="21" spans="1:5" ht="16" x14ac:dyDescent="0.2">
      <c r="A21" s="4" t="s">
        <v>86</v>
      </c>
      <c r="B21" s="5">
        <v>40</v>
      </c>
      <c r="C21" s="4" t="s">
        <v>78</v>
      </c>
      <c r="D21" s="4" t="s">
        <v>87</v>
      </c>
      <c r="E21" s="6" t="s">
        <v>88</v>
      </c>
    </row>
    <row r="22" spans="1:5" x14ac:dyDescent="0.2">
      <c r="A22" s="2" t="s">
        <v>89</v>
      </c>
      <c r="B22" s="3"/>
      <c r="C22" s="3"/>
      <c r="D22" s="3"/>
      <c r="E22" s="3"/>
    </row>
    <row r="23" spans="1:5" ht="16" x14ac:dyDescent="0.2">
      <c r="A23" s="4" t="s">
        <v>195</v>
      </c>
      <c r="B23" s="5">
        <v>6</v>
      </c>
      <c r="C23" s="4" t="s">
        <v>90</v>
      </c>
      <c r="D23" s="4" t="s">
        <v>91</v>
      </c>
      <c r="E23" s="6" t="s">
        <v>196</v>
      </c>
    </row>
    <row r="24" spans="1:5" ht="16" x14ac:dyDescent="0.2">
      <c r="A24" s="4" t="s">
        <v>92</v>
      </c>
      <c r="B24" s="5">
        <v>2.5</v>
      </c>
      <c r="C24" s="4" t="s">
        <v>93</v>
      </c>
      <c r="D24" s="4" t="s">
        <v>94</v>
      </c>
      <c r="E24" s="6" t="s">
        <v>95</v>
      </c>
    </row>
    <row r="25" spans="1:5" x14ac:dyDescent="0.2">
      <c r="A25" s="2" t="s">
        <v>96</v>
      </c>
      <c r="B25" s="3"/>
      <c r="C25" s="3"/>
      <c r="D25" s="3"/>
      <c r="E25" s="3"/>
    </row>
    <row r="26" spans="1:5" ht="16" x14ac:dyDescent="0.2">
      <c r="A26" s="4" t="s">
        <v>97</v>
      </c>
      <c r="B26" s="5">
        <v>5</v>
      </c>
      <c r="C26" s="4" t="s">
        <v>98</v>
      </c>
      <c r="D26" s="4" t="s">
        <v>99</v>
      </c>
      <c r="E26" s="6" t="s">
        <v>198</v>
      </c>
    </row>
    <row r="27" spans="1:5" x14ac:dyDescent="0.2">
      <c r="A27" s="2" t="s">
        <v>100</v>
      </c>
      <c r="B27" s="3"/>
      <c r="C27" s="3"/>
      <c r="D27" s="3"/>
      <c r="E27" s="3"/>
    </row>
    <row r="28" spans="1:5" ht="16" x14ac:dyDescent="0.2">
      <c r="A28" s="4" t="s">
        <v>101</v>
      </c>
      <c r="B28" s="5">
        <v>4.9000000000000004</v>
      </c>
      <c r="C28" s="4" t="s">
        <v>93</v>
      </c>
      <c r="D28" s="4" t="s">
        <v>102</v>
      </c>
      <c r="E28" s="6" t="s">
        <v>103</v>
      </c>
    </row>
    <row r="29" spans="1:5" ht="16" x14ac:dyDescent="0.2">
      <c r="A29" s="4" t="s">
        <v>199</v>
      </c>
      <c r="B29" s="5">
        <v>1.6</v>
      </c>
      <c r="C29" s="4" t="s">
        <v>93</v>
      </c>
      <c r="D29" s="4" t="s">
        <v>104</v>
      </c>
      <c r="E29" s="6" t="s">
        <v>200</v>
      </c>
    </row>
    <row r="30" spans="1:5" ht="16" x14ac:dyDescent="0.2">
      <c r="A30" s="4" t="s">
        <v>105</v>
      </c>
      <c r="B30" s="5">
        <v>0.5</v>
      </c>
      <c r="C30" s="4" t="s">
        <v>93</v>
      </c>
      <c r="D30" s="4" t="s">
        <v>106</v>
      </c>
      <c r="E30" s="6" t="s">
        <v>107</v>
      </c>
    </row>
    <row r="31" spans="1:5" x14ac:dyDescent="0.2">
      <c r="A31" s="2" t="s">
        <v>108</v>
      </c>
      <c r="B31" s="3"/>
      <c r="C31" s="3"/>
      <c r="D31" s="3"/>
      <c r="E31" s="3"/>
    </row>
    <row r="32" spans="1:5" ht="16" x14ac:dyDescent="0.2">
      <c r="A32" s="4" t="s">
        <v>109</v>
      </c>
      <c r="B32" s="5">
        <v>45</v>
      </c>
      <c r="C32" s="4" t="s">
        <v>62</v>
      </c>
      <c r="D32" s="4" t="s">
        <v>110</v>
      </c>
      <c r="E32" s="6" t="s">
        <v>111</v>
      </c>
    </row>
    <row r="33" spans="1:5" ht="16" x14ac:dyDescent="0.2">
      <c r="A33" s="4" t="s">
        <v>112</v>
      </c>
      <c r="B33" s="5">
        <v>4</v>
      </c>
      <c r="C33" s="4" t="s">
        <v>66</v>
      </c>
      <c r="D33" s="4" t="s">
        <v>113</v>
      </c>
      <c r="E33" s="6" t="s">
        <v>68</v>
      </c>
    </row>
    <row r="34" spans="1:5" ht="16" x14ac:dyDescent="0.2">
      <c r="A34" s="4" t="s">
        <v>114</v>
      </c>
      <c r="B34" s="5">
        <v>3.75</v>
      </c>
      <c r="C34" s="4" t="s">
        <v>78</v>
      </c>
      <c r="D34" s="4" t="s">
        <v>115</v>
      </c>
      <c r="E34" s="6" t="s">
        <v>116</v>
      </c>
    </row>
    <row r="35" spans="1:5" ht="16" x14ac:dyDescent="0.2">
      <c r="A35" s="4" t="s">
        <v>117</v>
      </c>
      <c r="B35" s="7">
        <v>0.66669999999999996</v>
      </c>
      <c r="C35" s="4" t="s">
        <v>118</v>
      </c>
      <c r="D35" s="4" t="s">
        <v>119</v>
      </c>
      <c r="E35" s="6" t="s">
        <v>120</v>
      </c>
    </row>
    <row r="36" spans="1:5" x14ac:dyDescent="0.2">
      <c r="A36" s="2" t="s">
        <v>121</v>
      </c>
      <c r="B36" s="3"/>
      <c r="C36" s="3"/>
      <c r="D36" s="3"/>
      <c r="E36" s="3"/>
    </row>
    <row r="37" spans="1:5" ht="16" x14ac:dyDescent="0.2">
      <c r="A37" s="4" t="s">
        <v>122</v>
      </c>
      <c r="B37" s="5">
        <v>4</v>
      </c>
      <c r="C37" s="4" t="s">
        <v>98</v>
      </c>
      <c r="D37" s="4" t="s">
        <v>123</v>
      </c>
      <c r="E37" s="6" t="s">
        <v>124</v>
      </c>
    </row>
    <row r="38" spans="1:5" ht="16" x14ac:dyDescent="0.2">
      <c r="A38" s="4" t="s">
        <v>125</v>
      </c>
      <c r="B38" s="5">
        <v>1.5</v>
      </c>
      <c r="C38" s="4" t="s">
        <v>98</v>
      </c>
      <c r="D38" s="4" t="s">
        <v>126</v>
      </c>
      <c r="E38" s="6" t="s">
        <v>201</v>
      </c>
    </row>
    <row r="39" spans="1:5" ht="16" x14ac:dyDescent="0.2">
      <c r="A39" s="4" t="s">
        <v>117</v>
      </c>
      <c r="B39" s="7">
        <v>0.7</v>
      </c>
      <c r="C39" s="4" t="s">
        <v>118</v>
      </c>
      <c r="D39" s="4" t="s">
        <v>127</v>
      </c>
      <c r="E39" s="6" t="s">
        <v>128</v>
      </c>
    </row>
    <row r="40" spans="1:5" x14ac:dyDescent="0.2">
      <c r="A40" s="2" t="s">
        <v>129</v>
      </c>
      <c r="B40" s="3"/>
      <c r="C40" s="3"/>
      <c r="D40" s="3"/>
      <c r="E40" s="3"/>
    </row>
    <row r="41" spans="1:5" ht="16" x14ac:dyDescent="0.2">
      <c r="A41" s="4" t="s">
        <v>130</v>
      </c>
      <c r="B41" s="5">
        <v>80</v>
      </c>
      <c r="C41" s="4" t="s">
        <v>131</v>
      </c>
      <c r="D41" s="4" t="s">
        <v>132</v>
      </c>
      <c r="E41" s="6" t="s">
        <v>133</v>
      </c>
    </row>
    <row r="42" spans="1:5" ht="16" x14ac:dyDescent="0.2">
      <c r="A42" s="4" t="s">
        <v>117</v>
      </c>
      <c r="B42" s="7">
        <v>0.7</v>
      </c>
      <c r="C42" s="4" t="s">
        <v>118</v>
      </c>
      <c r="D42" s="4" t="s">
        <v>134</v>
      </c>
      <c r="E42" s="6" t="s">
        <v>135</v>
      </c>
    </row>
    <row r="43" spans="1:5" x14ac:dyDescent="0.2">
      <c r="A43" s="2" t="s">
        <v>136</v>
      </c>
      <c r="B43" s="3"/>
      <c r="C43" s="3"/>
      <c r="D43" s="3"/>
      <c r="E43" s="3"/>
    </row>
    <row r="44" spans="1:5" ht="16" x14ac:dyDescent="0.2">
      <c r="A44" s="4" t="s">
        <v>195</v>
      </c>
      <c r="B44" s="5">
        <v>2</v>
      </c>
      <c r="C44" s="4" t="s">
        <v>90</v>
      </c>
      <c r="D44" s="4" t="s">
        <v>137</v>
      </c>
      <c r="E44" s="6" t="s">
        <v>202</v>
      </c>
    </row>
    <row r="45" spans="1:5" ht="16" x14ac:dyDescent="0.2">
      <c r="A45" s="4" t="s">
        <v>92</v>
      </c>
      <c r="B45" s="5">
        <v>2.5</v>
      </c>
      <c r="C45" s="4" t="s">
        <v>93</v>
      </c>
      <c r="D45" s="4" t="s">
        <v>138</v>
      </c>
      <c r="E45" s="6" t="s">
        <v>139</v>
      </c>
    </row>
    <row r="46" spans="1:5" ht="16" x14ac:dyDescent="0.2">
      <c r="A46" s="4" t="s">
        <v>140</v>
      </c>
      <c r="B46" s="5">
        <v>3</v>
      </c>
      <c r="C46" s="4" t="s">
        <v>141</v>
      </c>
      <c r="D46" s="4" t="s">
        <v>142</v>
      </c>
      <c r="E46" s="6" t="s">
        <v>143</v>
      </c>
    </row>
    <row r="47" spans="1:5" ht="16" x14ac:dyDescent="0.2">
      <c r="A47" s="4" t="s">
        <v>144</v>
      </c>
      <c r="B47" s="7">
        <v>0.96</v>
      </c>
      <c r="C47" s="4" t="s">
        <v>118</v>
      </c>
      <c r="D47" s="4" t="s">
        <v>145</v>
      </c>
      <c r="E47" s="6" t="s">
        <v>146</v>
      </c>
    </row>
    <row r="48" spans="1:5" x14ac:dyDescent="0.2">
      <c r="A48" s="2" t="s">
        <v>147</v>
      </c>
      <c r="B48" s="3"/>
      <c r="C48" s="3"/>
      <c r="D48" s="3"/>
      <c r="E48" s="3"/>
    </row>
    <row r="49" spans="1:5" ht="16" x14ac:dyDescent="0.2">
      <c r="A49" s="4" t="s">
        <v>148</v>
      </c>
      <c r="B49" s="5">
        <v>6</v>
      </c>
      <c r="C49" s="4" t="s">
        <v>98</v>
      </c>
      <c r="D49" s="4" t="s">
        <v>149</v>
      </c>
      <c r="E49" s="6" t="s">
        <v>150</v>
      </c>
    </row>
    <row r="50" spans="1:5" ht="16" x14ac:dyDescent="0.2">
      <c r="A50" s="4" t="s">
        <v>117</v>
      </c>
      <c r="B50" s="7">
        <v>0.9</v>
      </c>
      <c r="C50" s="4" t="s">
        <v>118</v>
      </c>
      <c r="D50" s="4" t="s">
        <v>151</v>
      </c>
      <c r="E50" s="6" t="s">
        <v>152</v>
      </c>
    </row>
    <row r="51" spans="1:5" x14ac:dyDescent="0.2">
      <c r="A51" s="2" t="s">
        <v>153</v>
      </c>
      <c r="B51" s="3"/>
      <c r="C51" s="3"/>
      <c r="D51" s="3"/>
      <c r="E51" s="3"/>
    </row>
    <row r="52" spans="1:5" ht="16" x14ac:dyDescent="0.2">
      <c r="A52" s="4" t="s">
        <v>154</v>
      </c>
      <c r="B52" s="5">
        <v>2</v>
      </c>
      <c r="C52" s="4" t="s">
        <v>93</v>
      </c>
      <c r="D52" s="4" t="s">
        <v>155</v>
      </c>
      <c r="E52" s="6" t="s">
        <v>156</v>
      </c>
    </row>
    <row r="53" spans="1:5" ht="16" x14ac:dyDescent="0.2">
      <c r="A53" s="4" t="s">
        <v>157</v>
      </c>
      <c r="B53" s="5">
        <v>1</v>
      </c>
      <c r="C53" s="4" t="s">
        <v>141</v>
      </c>
      <c r="D53" s="4" t="s">
        <v>158</v>
      </c>
      <c r="E53" s="6" t="s">
        <v>203</v>
      </c>
    </row>
    <row r="54" spans="1:5" x14ac:dyDescent="0.2">
      <c r="A54" s="2" t="s">
        <v>159</v>
      </c>
      <c r="B54" s="3"/>
      <c r="C54" s="3"/>
      <c r="D54" s="3"/>
      <c r="E54" s="3"/>
    </row>
    <row r="55" spans="1:5" ht="16" x14ac:dyDescent="0.2">
      <c r="A55" s="4" t="s">
        <v>160</v>
      </c>
      <c r="B55" s="5">
        <v>12</v>
      </c>
      <c r="C55" s="4" t="s">
        <v>141</v>
      </c>
      <c r="D55" s="4" t="s">
        <v>161</v>
      </c>
      <c r="E55" s="6" t="s">
        <v>162</v>
      </c>
    </row>
    <row r="56" spans="1:5" ht="16" x14ac:dyDescent="0.2">
      <c r="A56" s="4" t="s">
        <v>163</v>
      </c>
      <c r="B56" s="5">
        <v>8</v>
      </c>
      <c r="C56" s="4" t="s">
        <v>141</v>
      </c>
      <c r="D56" s="4" t="s">
        <v>164</v>
      </c>
      <c r="E56" s="6" t="s">
        <v>165</v>
      </c>
    </row>
    <row r="57" spans="1:5" ht="16" x14ac:dyDescent="0.2">
      <c r="A57" s="4" t="s">
        <v>166</v>
      </c>
      <c r="B57" s="5">
        <v>5</v>
      </c>
      <c r="C57" s="4" t="s">
        <v>141</v>
      </c>
      <c r="D57" s="4" t="s">
        <v>167</v>
      </c>
      <c r="E57" s="6" t="s">
        <v>168</v>
      </c>
    </row>
    <row r="58" spans="1:5" x14ac:dyDescent="0.2">
      <c r="A58" s="2" t="s">
        <v>169</v>
      </c>
      <c r="B58" s="3"/>
      <c r="C58" s="3"/>
      <c r="D58" s="3"/>
      <c r="E58" s="3"/>
    </row>
    <row r="59" spans="1:5" ht="16" x14ac:dyDescent="0.2">
      <c r="A59" s="4" t="s">
        <v>170</v>
      </c>
      <c r="B59" s="5">
        <v>10</v>
      </c>
      <c r="C59" s="4" t="s">
        <v>141</v>
      </c>
      <c r="D59" s="4" t="s">
        <v>171</v>
      </c>
      <c r="E59" s="6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42</vt:i4>
      </vt:variant>
    </vt:vector>
  </HeadingPairs>
  <TitlesOfParts>
    <vt:vector size="44" baseType="lpstr">
      <vt:lpstr>TCO 100 магазинов</vt:lpstr>
      <vt:lpstr>Параметры</vt:lpstr>
      <vt:lpstr>AS_ENG_COST</vt:lpstr>
      <vt:lpstr>AS_ENG_QTY</vt:lpstr>
      <vt:lpstr>AS_HW_BREAKFIX</vt:lpstr>
      <vt:lpstr>AS_LIC_POS</vt:lpstr>
      <vt:lpstr>AS_LIC_SQL</vt:lpstr>
      <vt:lpstr>AS_LIC_WIN</vt:lpstr>
      <vt:lpstr>AS_NET_PM</vt:lpstr>
      <vt:lpstr>AS_ONB_FIELD</vt:lpstr>
      <vt:lpstr>AS_ONB_REWORK</vt:lpstr>
      <vt:lpstr>AS_ONB_TEAM</vt:lpstr>
      <vt:lpstr>AS_PC_COST</vt:lpstr>
      <vt:lpstr>AS_PC_LIFE</vt:lpstr>
      <vt:lpstr>AS_PC_QTY</vt:lpstr>
      <vt:lpstr>AS_SRV_COST</vt:lpstr>
      <vt:lpstr>AS_SRV_LIFE</vt:lpstr>
      <vt:lpstr>HW_AGING</vt:lpstr>
      <vt:lpstr>IDX_FOT</vt:lpstr>
      <vt:lpstr>IDX_GENERAL</vt:lpstr>
      <vt:lpstr>IDX_LIC</vt:lpstr>
      <vt:lpstr>IDX_ONB</vt:lpstr>
      <vt:lpstr>N_STORES</vt:lpstr>
      <vt:lpstr>TB_CLOUD_PS</vt:lpstr>
      <vt:lpstr>TB_CLOUD_RAMP</vt:lpstr>
      <vt:lpstr>TB_CLOUDPOS_PM</vt:lpstr>
      <vt:lpstr>TB_DUALRUN</vt:lpstr>
      <vt:lpstr>TB_ENG_COST</vt:lpstr>
      <vt:lpstr>TB_ENG_QTY</vt:lpstr>
      <vt:lpstr>TB_FOT_EFF_Y3</vt:lpstr>
      <vt:lpstr>TB_FOT_HYPERCARE</vt:lpstr>
      <vt:lpstr>TB_HW_BREAKFIX</vt:lpstr>
      <vt:lpstr>TB_HW_RAMP</vt:lpstr>
      <vt:lpstr>TB_LOYALTY_PM</vt:lpstr>
      <vt:lpstr>TB_MIG_PLATFORM</vt:lpstr>
      <vt:lpstr>TB_MIG_ROLLOUT</vt:lpstr>
      <vt:lpstr>TB_MIG_TRAINING</vt:lpstr>
      <vt:lpstr>TB_NET_PM</vt:lpstr>
      <vt:lpstr>TB_NET_RAMP</vt:lpstr>
      <vt:lpstr>TB_ONB_RUN</vt:lpstr>
      <vt:lpstr>TB_ONB_SETUP_Y1</vt:lpstr>
      <vt:lpstr>TB_SUB_RAMP</vt:lpstr>
      <vt:lpstr>TB_TABLET_COST</vt:lpstr>
      <vt:lpstr>TB_TABLET_LIFE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Ionkin, Mikhail - Contractor {}</cp:lastModifiedBy>
  <dcterms:created xsi:type="dcterms:W3CDTF">2026-08-04T17:19:15Z</dcterms:created>
  <dcterms:modified xsi:type="dcterms:W3CDTF">2026-08-05T09:14:24Z</dcterms:modified>
</cp:coreProperties>
</file>